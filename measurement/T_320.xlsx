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ГРИГОРИЙЛЕВКИН\Documents\GitHub\spin_dynamics_with_GPT\data\Скрещенные\"/>
    </mc:Choice>
  </mc:AlternateContent>
  <xr:revisionPtr revIDLastSave="0" documentId="13_ncr:1_{E55B895B-F4DF-458A-A272-4476EA713EE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28" i="1"/>
  <c r="D28" i="1"/>
  <c r="B28" i="1"/>
  <c r="D27" i="1"/>
  <c r="F27" i="1"/>
  <c r="G27" i="1"/>
  <c r="H27" i="1"/>
  <c r="B27" i="1"/>
</calcChain>
</file>

<file path=xl/sharedStrings.xml><?xml version="1.0" encoding="utf-8"?>
<sst xmlns="http://schemas.openxmlformats.org/spreadsheetml/2006/main" count="25" uniqueCount="25">
  <si>
    <t>H, mT</t>
  </si>
  <si>
    <t>Частота НЧ, ГГц</t>
  </si>
  <si>
    <t>Погр. Частота НЧ, ГГц</t>
  </si>
  <si>
    <t>Частота ВЧ, ГГц</t>
  </si>
  <si>
    <t>Погр. Частота ВЧ, ГГц</t>
  </si>
  <si>
    <t>Время затухания НЧ, нс</t>
  </si>
  <si>
    <t>Погр. Время затухания НЧ, нс</t>
  </si>
  <si>
    <t>Время затухания ВЧ, нс</t>
  </si>
  <si>
    <t>Погр. Время затухания ВЧ, нс</t>
  </si>
  <si>
    <t>Начальная фаза НЧ, рад</t>
  </si>
  <si>
    <t>Погр. Начальная фаза НЧ, рад</t>
  </si>
  <si>
    <t>Начальная фаза ВЧ, рад</t>
  </si>
  <si>
    <t>Погр. Начальная фаза ВЧ, рад</t>
  </si>
  <si>
    <t>Амплитуда НЧ</t>
  </si>
  <si>
    <t>Погр. Амплитуда НЧ</t>
  </si>
  <si>
    <t>Амплитуда ВЧ</t>
  </si>
  <si>
    <t>Погр. Амплитуда ВЧ</t>
  </si>
  <si>
    <t>k НЧ</t>
  </si>
  <si>
    <t>Погр. k НЧ</t>
  </si>
  <si>
    <t>k ВЧ</t>
  </si>
  <si>
    <t>Погр. k ВЧ</t>
  </si>
  <si>
    <t>Константа НЧ</t>
  </si>
  <si>
    <t>Погр. Константа НЧ</t>
  </si>
  <si>
    <t>Константа ВЧ</t>
  </si>
  <si>
    <t>Погр. Константа ВЧ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</si>
</sst>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topLeftCell="A5" workbookViewId="0">
      <selection activeCell="B12" sqref="B12:H12"/>
    </sheetView>
  </sheetViews>
  <sheetFormatPr defaultRowHeight="15" x14ac:dyDescent="0.25"/>
  <cols>
    <col min="1" max="1" width="25" customWidth="1"/>
    <col min="2" max="2" width="12.7109375" bestFit="1" customWidth="1"/>
    <col min="8" max="8" width="12.7109375" bestFit="1" customWidth="1"/>
  </cols>
  <sheetData>
    <row r="1" spans="1:19" x14ac:dyDescent="0.25">
      <c r="A1" s="1" t="s">
        <v>0</v>
      </c>
      <c r="B1" s="2">
        <v>30</v>
      </c>
      <c r="C1" s="2">
        <v>40</v>
      </c>
      <c r="D1" s="2">
        <v>50</v>
      </c>
      <c r="E1" s="2">
        <v>60</v>
      </c>
      <c r="F1" s="2">
        <v>70</v>
      </c>
      <c r="G1" s="2">
        <v>80</v>
      </c>
      <c r="H1" s="2">
        <v>90</v>
      </c>
      <c r="I1" s="2">
        <v>100</v>
      </c>
      <c r="J1" s="2">
        <v>110</v>
      </c>
      <c r="K1" s="2">
        <v>120</v>
      </c>
      <c r="L1" s="2">
        <v>130</v>
      </c>
      <c r="M1" s="2">
        <v>140</v>
      </c>
      <c r="N1" s="2">
        <v>150</v>
      </c>
      <c r="O1" s="2">
        <v>160</v>
      </c>
      <c r="P1" s="2">
        <v>170</v>
      </c>
    </row>
    <row r="2" spans="1:19" x14ac:dyDescent="0.25">
      <c r="A2" s="2" t="s">
        <v>1</v>
      </c>
      <c r="B2">
        <v>10.728024858143669</v>
      </c>
      <c r="C2">
        <v>11.06384289877994</v>
      </c>
      <c r="D2">
        <v>11.570007414262481</v>
      </c>
      <c r="E2">
        <v>10.56978122929349</v>
      </c>
      <c r="F2">
        <v>11.93735544193156</v>
      </c>
      <c r="G2">
        <v>12.48866158612898</v>
      </c>
      <c r="H2">
        <v>11.163352630145161</v>
      </c>
      <c r="I2">
        <v>10.33220060249786</v>
      </c>
      <c r="J2">
        <v>10.550310774405871</v>
      </c>
      <c r="K2">
        <v>9.9330824953557784</v>
      </c>
      <c r="L2">
        <v>9.5573052565861154</v>
      </c>
      <c r="M2">
        <v>8.9785629141050229</v>
      </c>
      <c r="N2">
        <v>8.4834507771463965</v>
      </c>
      <c r="O2">
        <v>8.095909079549088</v>
      </c>
      <c r="P2">
        <v>7.6702991619422169</v>
      </c>
    </row>
    <row r="3" spans="1:19" x14ac:dyDescent="0.25">
      <c r="A3" s="2" t="s">
        <v>2</v>
      </c>
      <c r="B3">
        <v>4.6765002113829897E-2</v>
      </c>
      <c r="C3">
        <v>2.3454754781971641E-2</v>
      </c>
      <c r="D3">
        <v>4.7947747352774087E-2</v>
      </c>
      <c r="E3">
        <v>0.15882304179123491</v>
      </c>
      <c r="F3">
        <v>0.33473142004002571</v>
      </c>
      <c r="G3">
        <v>0.31321232606424593</v>
      </c>
      <c r="H3">
        <v>0.7863146402048643</v>
      </c>
      <c r="I3">
        <v>0.1098909833580414</v>
      </c>
      <c r="J3">
        <v>0.32055943441029189</v>
      </c>
      <c r="K3">
        <v>0.37709347875307159</v>
      </c>
      <c r="L3">
        <v>0.1230226024654491</v>
      </c>
      <c r="M3">
        <v>0.2036707002079638</v>
      </c>
      <c r="N3">
        <v>0.11365000261103909</v>
      </c>
      <c r="O3">
        <v>5.9158472190074488E-2</v>
      </c>
      <c r="P3">
        <v>7.081865733577157E-2</v>
      </c>
    </row>
    <row r="4" spans="1:19" x14ac:dyDescent="0.25">
      <c r="A4" s="2" t="s">
        <v>3</v>
      </c>
      <c r="B4">
        <v>16.320049304792999</v>
      </c>
      <c r="C4">
        <v>16.842561070784949</v>
      </c>
      <c r="D4">
        <v>14.825842256715809</v>
      </c>
      <c r="E4">
        <v>11.67470250483766</v>
      </c>
      <c r="F4">
        <v>13.100777174106639</v>
      </c>
      <c r="G4">
        <v>14.246880682572939</v>
      </c>
      <c r="H4">
        <v>12.012948892872879</v>
      </c>
      <c r="I4">
        <v>11.95257493313653</v>
      </c>
      <c r="J4">
        <v>11.926429903344649</v>
      </c>
      <c r="K4">
        <v>11.976780673093391</v>
      </c>
      <c r="L4">
        <v>12.294483902096751</v>
      </c>
      <c r="M4">
        <v>12.369197721358651</v>
      </c>
      <c r="N4">
        <v>12.62161186500998</v>
      </c>
      <c r="O4">
        <v>12.78916765235234</v>
      </c>
      <c r="P4">
        <v>12.723487079233781</v>
      </c>
    </row>
    <row r="5" spans="1:19" x14ac:dyDescent="0.25">
      <c r="A5" s="2" t="s">
        <v>4</v>
      </c>
      <c r="B5">
        <v>0.42364860263557691</v>
      </c>
      <c r="C5">
        <v>0.90862758491849538</v>
      </c>
      <c r="D5">
        <v>0.97884960565855905</v>
      </c>
      <c r="E5">
        <v>8.6596886475649476E-2</v>
      </c>
      <c r="F5">
        <v>0.3169645118965651</v>
      </c>
      <c r="G5">
        <v>1.114793220494039</v>
      </c>
      <c r="H5">
        <v>0.30455290270716429</v>
      </c>
      <c r="I5">
        <v>4.7116634789339987E-2</v>
      </c>
      <c r="J5">
        <v>2.9538189903658689E-2</v>
      </c>
      <c r="K5">
        <v>3.1150135198177512E-2</v>
      </c>
      <c r="L5">
        <v>2.6968046284160229E-2</v>
      </c>
      <c r="M5">
        <v>2.7494198382216999E-2</v>
      </c>
      <c r="N5">
        <v>3.4905590941845102E-2</v>
      </c>
      <c r="O5">
        <v>1.8954255654646968E-2</v>
      </c>
      <c r="P5">
        <v>2.7095469371999421E-2</v>
      </c>
    </row>
    <row r="6" spans="1:19" x14ac:dyDescent="0.25">
      <c r="A6" s="2" t="s">
        <v>5</v>
      </c>
      <c r="B6">
        <v>9.0305018213708857E-2</v>
      </c>
      <c r="C6">
        <v>8.7247846566264359E-2</v>
      </c>
      <c r="D6">
        <v>8.5797659604767706E-2</v>
      </c>
      <c r="E6">
        <v>5.000262928646336E-2</v>
      </c>
      <c r="F6">
        <v>4.4183669337450472E-2</v>
      </c>
      <c r="G6">
        <v>7.9085959574570167E-2</v>
      </c>
      <c r="H6">
        <v>9.269621771217447E-2</v>
      </c>
      <c r="I6">
        <v>5.0000067572072482E-2</v>
      </c>
      <c r="J6">
        <v>3.2577073230240457E-2</v>
      </c>
      <c r="K6">
        <v>3.0840242085108261E-2</v>
      </c>
      <c r="L6">
        <v>5.5008561170417587E-2</v>
      </c>
      <c r="M6">
        <v>4.3560666781238058E-2</v>
      </c>
      <c r="N6">
        <v>7.229467255313117E-2</v>
      </c>
      <c r="O6">
        <v>8.6216721352314993E-2</v>
      </c>
      <c r="P6">
        <v>8.8999581304400624E-2</v>
      </c>
    </row>
    <row r="7" spans="1:19" x14ac:dyDescent="0.25">
      <c r="A7" s="2" t="s">
        <v>6</v>
      </c>
      <c r="B7">
        <v>2.251492111266469E-2</v>
      </c>
      <c r="C7">
        <v>2.9659014091563501E-2</v>
      </c>
      <c r="D7">
        <v>1.6775206449662732E-2</v>
      </c>
      <c r="E7">
        <v>0.1401334003964407</v>
      </c>
      <c r="F7">
        <v>3.7768608310880069E-3</v>
      </c>
      <c r="G7">
        <v>5.4348686457605898E-3</v>
      </c>
      <c r="H7">
        <v>0.69486025504696414</v>
      </c>
      <c r="I7">
        <v>0.1025630141051501</v>
      </c>
      <c r="J7">
        <v>3.822302268110788E-3</v>
      </c>
      <c r="K7">
        <v>3.5839664438092351E-3</v>
      </c>
      <c r="L7">
        <v>6.1614452108687698E-2</v>
      </c>
      <c r="M7">
        <v>2.3371448746568732E-3</v>
      </c>
      <c r="N7">
        <v>5.4400018582766337E-2</v>
      </c>
      <c r="O7">
        <v>5.7231697242908088E-2</v>
      </c>
      <c r="P7">
        <v>7.4140542322894312E-2</v>
      </c>
    </row>
    <row r="8" spans="1:19" x14ac:dyDescent="0.25">
      <c r="A8" s="2" t="s">
        <v>7</v>
      </c>
      <c r="B8">
        <v>8.5340559804627236E-2</v>
      </c>
      <c r="C8">
        <v>5.0461197095749057E-3</v>
      </c>
      <c r="D8">
        <v>2.4415549709920319E-2</v>
      </c>
      <c r="E8">
        <v>0.1489763294543722</v>
      </c>
      <c r="F8">
        <v>7.9582646907212992E-2</v>
      </c>
      <c r="G8">
        <v>5.8288813480443243E-2</v>
      </c>
      <c r="H8">
        <v>0.26320136468899702</v>
      </c>
      <c r="I8">
        <v>0.1660466898226251</v>
      </c>
      <c r="J8">
        <v>0.13954241380534341</v>
      </c>
      <c r="K8">
        <v>0.1447554059824015</v>
      </c>
      <c r="L8">
        <v>0.15606703986084289</v>
      </c>
      <c r="M8">
        <v>0.15468333642536419</v>
      </c>
      <c r="N8">
        <v>0.1647584078454809</v>
      </c>
      <c r="O8">
        <v>0.21140092112126829</v>
      </c>
      <c r="P8">
        <v>0.18887988388087601</v>
      </c>
    </row>
    <row r="9" spans="1:19" x14ac:dyDescent="0.25">
      <c r="A9" s="2" t="s">
        <v>8</v>
      </c>
      <c r="B9">
        <v>2.1196783995511559E-2</v>
      </c>
      <c r="C9">
        <v>1.9602170562560309E-3</v>
      </c>
      <c r="D9">
        <v>8.1956627346919421E-3</v>
      </c>
      <c r="E9">
        <v>9.1519531733676805E-3</v>
      </c>
      <c r="F9">
        <v>7.633274751900055E-3</v>
      </c>
      <c r="G9">
        <v>1.793400515163435E-2</v>
      </c>
      <c r="H9">
        <v>0.1526343676944939</v>
      </c>
      <c r="I9">
        <v>1.4717509643822541E-2</v>
      </c>
      <c r="J9">
        <v>1.00393277848248E-2</v>
      </c>
      <c r="K9">
        <v>1.042752580567935E-2</v>
      </c>
      <c r="L9">
        <v>1.275675383435221E-2</v>
      </c>
      <c r="M9">
        <v>1.1045718963649181E-2</v>
      </c>
      <c r="N9">
        <v>3.096169624053223E-2</v>
      </c>
      <c r="O9">
        <v>1.256158044793748E-2</v>
      </c>
      <c r="P9">
        <v>1.5205711617381641E-2</v>
      </c>
    </row>
    <row r="10" spans="1:19" x14ac:dyDescent="0.25">
      <c r="A10" s="2" t="s">
        <v>9</v>
      </c>
      <c r="B10">
        <v>0.23523911713113366</v>
      </c>
      <c r="C10">
        <v>0</v>
      </c>
      <c r="D10">
        <v>-0.14865012219382145</v>
      </c>
      <c r="E10">
        <v>0</v>
      </c>
      <c r="F10">
        <v>0.762106756766186</v>
      </c>
      <c r="G10">
        <v>-0.55915810918560327</v>
      </c>
      <c r="H10">
        <v>-6.8333085591601339E-2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2" t="s">
        <v>10</v>
      </c>
      <c r="B11">
        <v>2.1860735467342522E-2</v>
      </c>
      <c r="C11">
        <v>0</v>
      </c>
      <c r="D11">
        <v>3.105394788095087E-2</v>
      </c>
      <c r="E11">
        <v>0</v>
      </c>
      <c r="F11">
        <v>0.225752482035151</v>
      </c>
      <c r="G11">
        <v>0.35653831605984709</v>
      </c>
      <c r="H11">
        <v>0.38041296180327011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2" t="s">
        <v>11</v>
      </c>
      <c r="B12">
        <v>-1.7774152019561198</v>
      </c>
      <c r="C12">
        <v>0</v>
      </c>
      <c r="D12">
        <v>1.3629098802601378</v>
      </c>
      <c r="E12">
        <v>0</v>
      </c>
      <c r="F12">
        <v>-1.5707865134133687</v>
      </c>
      <c r="G12">
        <v>1.801666321084058</v>
      </c>
      <c r="H12">
        <v>0.44258428635278158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9" x14ac:dyDescent="0.25">
      <c r="A13" s="2" t="s">
        <v>12</v>
      </c>
      <c r="B13">
        <v>0.1478126004957146</v>
      </c>
      <c r="C13">
        <v>0</v>
      </c>
      <c r="D13">
        <v>8.2855380990918395E-2</v>
      </c>
      <c r="E13">
        <v>0</v>
      </c>
      <c r="F13">
        <v>0.35180035022253331</v>
      </c>
      <c r="G13">
        <v>0.18487767476226741</v>
      </c>
      <c r="H13">
        <v>0.98587799625117645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9" x14ac:dyDescent="0.25">
      <c r="A14" s="2" t="s">
        <v>13</v>
      </c>
      <c r="B14">
        <v>14.5314754574578</v>
      </c>
      <c r="C14">
        <v>8.6839514234553512</v>
      </c>
      <c r="D14">
        <v>21.38989169952465</v>
      </c>
      <c r="E14">
        <v>7.738394524528303</v>
      </c>
      <c r="F14">
        <v>12.01214822137894</v>
      </c>
      <c r="G14">
        <v>16.13484075016029</v>
      </c>
      <c r="H14">
        <v>11.67111685924427</v>
      </c>
      <c r="I14">
        <v>8.4122428727609559</v>
      </c>
      <c r="J14">
        <v>10.80282451875769</v>
      </c>
      <c r="K14">
        <v>13.282934174368981</v>
      </c>
      <c r="L14">
        <v>8.8034574083968913</v>
      </c>
      <c r="M14">
        <v>10.75376225063494</v>
      </c>
      <c r="N14">
        <v>10.648889257583541</v>
      </c>
      <c r="O14">
        <v>14.220789128944981</v>
      </c>
      <c r="P14">
        <v>7.5569348697014629</v>
      </c>
    </row>
    <row r="15" spans="1:19" x14ac:dyDescent="0.25">
      <c r="A15" s="2" t="s">
        <v>14</v>
      </c>
      <c r="G15">
        <v>2768245.4165525641</v>
      </c>
      <c r="K15">
        <v>2879790.6478285631</v>
      </c>
      <c r="N15">
        <v>6422169581.5831528</v>
      </c>
      <c r="O15">
        <v>5119723.5441789152</v>
      </c>
      <c r="P15">
        <v>1975174.1489064789</v>
      </c>
      <c r="S15" s="3"/>
    </row>
    <row r="16" spans="1:19" x14ac:dyDescent="0.25">
      <c r="A16" s="2" t="s">
        <v>15</v>
      </c>
      <c r="B16">
        <v>1.3227599822978739</v>
      </c>
      <c r="C16">
        <v>8.6839514234553512</v>
      </c>
      <c r="D16">
        <v>5.3715130570595466</v>
      </c>
      <c r="E16">
        <v>7.738394524528303</v>
      </c>
      <c r="F16">
        <v>7.3307553844731848</v>
      </c>
      <c r="G16">
        <v>8.7171028249243605</v>
      </c>
      <c r="H16">
        <v>3.4453641914049862</v>
      </c>
      <c r="I16">
        <v>8.4122428727609559</v>
      </c>
      <c r="J16">
        <v>10.80282451875769</v>
      </c>
      <c r="K16">
        <v>13.282934174368981</v>
      </c>
      <c r="L16">
        <v>8.8034574083968913</v>
      </c>
      <c r="M16">
        <v>10.75376225063494</v>
      </c>
      <c r="N16">
        <v>10.648889257583541</v>
      </c>
      <c r="O16">
        <v>14.220789128944981</v>
      </c>
      <c r="P16">
        <v>7.5569348697014629</v>
      </c>
    </row>
    <row r="17" spans="1:16" x14ac:dyDescent="0.25">
      <c r="A17" s="2" t="s">
        <v>16</v>
      </c>
      <c r="G17">
        <v>1495588.3495298361</v>
      </c>
      <c r="K17">
        <v>2879790.6478285631</v>
      </c>
      <c r="N17">
        <v>6422169581.5831528</v>
      </c>
      <c r="O17">
        <v>5119723.5441789152</v>
      </c>
      <c r="P17">
        <v>1975174.1489064789</v>
      </c>
    </row>
    <row r="18" spans="1:16" x14ac:dyDescent="0.25">
      <c r="A18" s="2" t="s">
        <v>17</v>
      </c>
      <c r="B18">
        <v>0.77486985215704018</v>
      </c>
      <c r="C18">
        <v>1.350094228389954</v>
      </c>
      <c r="D18">
        <v>0.85200855240204609</v>
      </c>
      <c r="E18">
        <v>1.0935449550586449</v>
      </c>
      <c r="F18">
        <v>1.9999980447212069</v>
      </c>
      <c r="G18">
        <v>1.6185266508029419</v>
      </c>
      <c r="H18">
        <v>1.020228917262229</v>
      </c>
      <c r="I18">
        <v>1.0397839571108669</v>
      </c>
      <c r="J18">
        <v>0.94803460546647456</v>
      </c>
      <c r="K18">
        <v>0.74250363558712906</v>
      </c>
      <c r="L18">
        <v>1.077405109542072</v>
      </c>
      <c r="M18">
        <v>0.90230044214930416</v>
      </c>
      <c r="N18">
        <v>0.87029158428459863</v>
      </c>
      <c r="O18">
        <v>0.64858867657854535</v>
      </c>
      <c r="P18">
        <v>0.96662027018975794</v>
      </c>
    </row>
    <row r="19" spans="1:16" x14ac:dyDescent="0.25">
      <c r="A19" s="2" t="s">
        <v>18</v>
      </c>
      <c r="G19">
        <v>277689.69378506677</v>
      </c>
      <c r="K19">
        <v>160977.61172551729</v>
      </c>
      <c r="N19">
        <v>524858510.2608251</v>
      </c>
      <c r="O19">
        <v>233502.84446411481</v>
      </c>
      <c r="P19">
        <v>252647.85338431099</v>
      </c>
    </row>
    <row r="20" spans="1:16" x14ac:dyDescent="0.25">
      <c r="A20" s="2" t="s">
        <v>19</v>
      </c>
      <c r="B20">
        <v>1.160056203441302</v>
      </c>
      <c r="C20">
        <v>1.3436324758488929</v>
      </c>
      <c r="D20">
        <v>0.8942634286754807</v>
      </c>
      <c r="E20">
        <v>1.1172784083989069</v>
      </c>
      <c r="F20">
        <v>1.9840413688479801</v>
      </c>
      <c r="G20">
        <v>1.664898577975241</v>
      </c>
      <c r="H20">
        <v>0.92914829992792813</v>
      </c>
      <c r="I20">
        <v>1.0163784892575889</v>
      </c>
      <c r="J20">
        <v>0.89040731781965643</v>
      </c>
      <c r="K20">
        <v>0.77903315464664147</v>
      </c>
      <c r="L20">
        <v>1.0661722819953661</v>
      </c>
      <c r="M20">
        <v>0.81584628892330457</v>
      </c>
      <c r="N20">
        <v>0.96405563241814796</v>
      </c>
      <c r="O20">
        <v>0.64276472870411783</v>
      </c>
      <c r="P20">
        <v>0.92871873033530439</v>
      </c>
    </row>
    <row r="21" spans="1:16" x14ac:dyDescent="0.25">
      <c r="A21" s="2" t="s">
        <v>20</v>
      </c>
      <c r="G21">
        <v>285645.69892775692</v>
      </c>
      <c r="K21">
        <v>168897.35107748871</v>
      </c>
      <c r="N21">
        <v>581406060.39968419</v>
      </c>
      <c r="O21">
        <v>231406.1241813777</v>
      </c>
      <c r="P21">
        <v>242741.43588707031</v>
      </c>
    </row>
    <row r="22" spans="1:16" x14ac:dyDescent="0.25">
      <c r="A22" s="2" t="s">
        <v>21</v>
      </c>
      <c r="B22">
        <v>31.84665462759218</v>
      </c>
      <c r="C22">
        <v>32.455812321815699</v>
      </c>
      <c r="D22">
        <v>35.247360533054298</v>
      </c>
      <c r="E22">
        <v>33.347816503902123</v>
      </c>
      <c r="F22">
        <v>34.807330290937863</v>
      </c>
      <c r="G22">
        <v>36.863329622304967</v>
      </c>
      <c r="H22">
        <v>44.583113578261433</v>
      </c>
      <c r="I22">
        <v>43.233430189326747</v>
      </c>
      <c r="J22">
        <v>42.433815414793322</v>
      </c>
      <c r="K22">
        <v>40.14420235144393</v>
      </c>
      <c r="L22">
        <v>34.541624930183758</v>
      </c>
      <c r="M22">
        <v>35.543677543319212</v>
      </c>
      <c r="N22">
        <v>31.06104730418356</v>
      </c>
      <c r="O22">
        <v>35.35642425427212</v>
      </c>
      <c r="P22">
        <v>22.871667751179299</v>
      </c>
    </row>
    <row r="23" spans="1:16" x14ac:dyDescent="0.25">
      <c r="A23" s="2" t="s">
        <v>22</v>
      </c>
      <c r="B23">
        <v>2.546060043955501E-2</v>
      </c>
      <c r="C23">
        <v>3.3399038468703478E-2</v>
      </c>
      <c r="D23">
        <v>2.8224037094857449E-2</v>
      </c>
      <c r="E23">
        <v>4.8451944457261142E-2</v>
      </c>
      <c r="F23">
        <v>4.3221622564116602E-2</v>
      </c>
      <c r="G23">
        <v>5.6732265782623539E-2</v>
      </c>
      <c r="H23">
        <v>6.5138259615468028E-2</v>
      </c>
      <c r="I23">
        <v>5.2169222898324409E-2</v>
      </c>
      <c r="J23">
        <v>5.7179835472786412E-2</v>
      </c>
      <c r="K23">
        <v>5.7563615896920661E-2</v>
      </c>
      <c r="L23">
        <v>6.5492569175197385E-2</v>
      </c>
      <c r="M23">
        <v>5.6456817073824807E-2</v>
      </c>
      <c r="N23">
        <v>0.15711307945369571</v>
      </c>
      <c r="O23">
        <v>5.8959345620712311E-2</v>
      </c>
      <c r="P23">
        <v>5.9316976661674743E-2</v>
      </c>
    </row>
    <row r="24" spans="1:16" x14ac:dyDescent="0.25">
      <c r="A24" s="2" t="s">
        <v>23</v>
      </c>
      <c r="B24">
        <v>36.425732914822198</v>
      </c>
      <c r="C24">
        <v>30.790579456567269</v>
      </c>
      <c r="D24">
        <v>34.833534284395853</v>
      </c>
      <c r="E24">
        <v>33.771146297133619</v>
      </c>
      <c r="F24">
        <v>34.271005453360409</v>
      </c>
      <c r="G24">
        <v>36.818754548283451</v>
      </c>
      <c r="H24">
        <v>41.646525433516238</v>
      </c>
      <c r="I24">
        <v>44.987493175719599</v>
      </c>
      <c r="J24">
        <v>40.758270934403903</v>
      </c>
      <c r="K24">
        <v>39.46558191126919</v>
      </c>
      <c r="L24">
        <v>37.979962287852942</v>
      </c>
      <c r="M24">
        <v>34.099190292395512</v>
      </c>
      <c r="N24">
        <v>30.572477118706932</v>
      </c>
      <c r="O24">
        <v>39.770338753957027</v>
      </c>
      <c r="P24">
        <v>22.621453470750879</v>
      </c>
    </row>
    <row r="25" spans="1:16" x14ac:dyDescent="0.25">
      <c r="A25" s="2" t="s">
        <v>24</v>
      </c>
      <c r="B25">
        <v>3.5061048419240098E-2</v>
      </c>
      <c r="C25">
        <v>3.8542771746581411E-2</v>
      </c>
      <c r="D25">
        <v>3.7966203424625769E-2</v>
      </c>
      <c r="E25">
        <v>6.3265857671641668E-2</v>
      </c>
      <c r="F25">
        <v>7.1816207513792585E-2</v>
      </c>
      <c r="G25">
        <v>6.3057421213696035E-2</v>
      </c>
      <c r="H25">
        <v>9.4415910406815629E-2</v>
      </c>
      <c r="I25">
        <v>7.5058366584365641E-2</v>
      </c>
      <c r="J25">
        <v>9.0502134880902349E-2</v>
      </c>
      <c r="K25">
        <v>0.1194299045998559</v>
      </c>
      <c r="L25">
        <v>0.10634389957302991</v>
      </c>
      <c r="M25">
        <v>9.436545532292849E-2</v>
      </c>
      <c r="N25">
        <v>0.14522541418055529</v>
      </c>
      <c r="O25">
        <v>8.728179108989674E-2</v>
      </c>
      <c r="P25">
        <v>8.872323193042328E-2</v>
      </c>
    </row>
    <row r="27" spans="1:16" x14ac:dyDescent="0.25">
      <c r="B27">
        <f>IF(PI()/2+B10&gt;PI(),PI()/2+B10-2*PI(),PI()/2+B10)</f>
        <v>1.8060354439260302</v>
      </c>
      <c r="C27">
        <v>0</v>
      </c>
      <c r="D27">
        <f t="shared" ref="C27:H27" si="0">IF(PI()/2+D10&gt;PI(),PI()/2+D10-2*PI(),PI()/2+D10)</f>
        <v>1.4221462046010751</v>
      </c>
      <c r="E27">
        <v>0</v>
      </c>
      <c r="F27">
        <f t="shared" si="0"/>
        <v>2.3329030835610824</v>
      </c>
      <c r="G27">
        <f t="shared" si="0"/>
        <v>1.0116382176092933</v>
      </c>
      <c r="H27">
        <f t="shared" si="0"/>
        <v>1.5024632412032952</v>
      </c>
    </row>
    <row r="28" spans="1:16" x14ac:dyDescent="0.25">
      <c r="B28">
        <f>IF(PI()/2+B12&gt;PI(),PI()/2+B12-2*PI(),PI()/2+B12)</f>
        <v>-0.20661887516122324</v>
      </c>
      <c r="C28">
        <v>0</v>
      </c>
      <c r="D28">
        <f t="shared" ref="C28:H28" si="1">IF(PI()/2+D12&gt;PI(),PI()/2+D12-2*PI(),PI()/2+D12)</f>
        <v>2.9337062070550344</v>
      </c>
      <c r="E28">
        <v>0</v>
      </c>
      <c r="F28">
        <f t="shared" si="1"/>
        <v>9.8133815278345082E-6</v>
      </c>
      <c r="G28">
        <f t="shared" si="1"/>
        <v>-2.9107226593006317</v>
      </c>
      <c r="H28">
        <f t="shared" si="1"/>
        <v>2.0133806131476781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ЛЕВКИН</dc:creator>
  <cp:lastModifiedBy>ГРИГОРИЙ ЛЕВКИН</cp:lastModifiedBy>
  <dcterms:created xsi:type="dcterms:W3CDTF">2015-06-05T18:19:34Z</dcterms:created>
  <dcterms:modified xsi:type="dcterms:W3CDTF">2026-04-16T19:32:04Z</dcterms:modified>
</cp:coreProperties>
</file>